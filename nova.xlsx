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m 2\statistical Data analysi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F23" i="1"/>
  <c r="F22" i="1"/>
  <c r="E22" i="1"/>
  <c r="E24" i="1"/>
  <c r="E23" i="1"/>
  <c r="D16" i="1"/>
  <c r="O4" i="1"/>
  <c r="T12" i="1"/>
  <c r="S12" i="1"/>
  <c r="R12" i="1"/>
  <c r="Q12" i="1"/>
  <c r="S3" i="1"/>
  <c r="S4" i="1"/>
  <c r="S5" i="1"/>
  <c r="S6" i="1"/>
  <c r="S7" i="1"/>
  <c r="S8" i="1"/>
  <c r="S9" i="1"/>
  <c r="S10" i="1"/>
  <c r="S11" i="1"/>
  <c r="S2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N2" i="1"/>
  <c r="O2" i="1"/>
  <c r="M2" i="1"/>
  <c r="K1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E12" i="1"/>
  <c r="D12" i="1"/>
  <c r="C12" i="1"/>
  <c r="B12" i="1"/>
</calcChain>
</file>

<file path=xl/sharedStrings.xml><?xml version="1.0" encoding="utf-8"?>
<sst xmlns="http://schemas.openxmlformats.org/spreadsheetml/2006/main" count="27" uniqueCount="26">
  <si>
    <t>Sand</t>
  </si>
  <si>
    <t>Clay</t>
  </si>
  <si>
    <t>Loam</t>
  </si>
  <si>
    <t>yB</t>
  </si>
  <si>
    <t>yC</t>
  </si>
  <si>
    <t>yA</t>
  </si>
  <si>
    <t>SST- Total sum of squares</t>
  </si>
  <si>
    <t>sand - overall mean</t>
  </si>
  <si>
    <t>Total</t>
  </si>
  <si>
    <t>SSF - Factor Sum of Squares</t>
  </si>
  <si>
    <t>SSE - Error Sum of Squares</t>
  </si>
  <si>
    <t>SSF</t>
  </si>
  <si>
    <t>SST = 414.7</t>
  </si>
  <si>
    <t>SSE = 315.5</t>
  </si>
  <si>
    <t>Ybar</t>
  </si>
  <si>
    <t>SSE = SST-SSF</t>
  </si>
  <si>
    <t>ANOVA TABLE</t>
  </si>
  <si>
    <t>Source</t>
  </si>
  <si>
    <t>Sum of Squares (SS)</t>
  </si>
  <si>
    <t>df</t>
  </si>
  <si>
    <t>MS</t>
  </si>
  <si>
    <t>F-ratio</t>
  </si>
  <si>
    <t>Critical F</t>
  </si>
  <si>
    <t>Treatment</t>
  </si>
  <si>
    <t>Error</t>
  </si>
  <si>
    <t>3.37 - from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</si>
</sst>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4"/>
  <sheetViews>
    <sheetView tabSelected="1" workbookViewId="0">
      <selection activeCell="L25" sqref="L25"/>
    </sheetView>
  </sheetViews>
  <sheetFormatPr defaultRowHeight="14.4" x14ac:dyDescent="0.3"/>
  <sheetData>
    <row r="1" spans="2:20" x14ac:dyDescent="0.3">
      <c r="B1" t="s">
        <v>0</v>
      </c>
      <c r="C1" t="s">
        <v>1</v>
      </c>
      <c r="D1" t="s">
        <v>2</v>
      </c>
      <c r="I1" s="1" t="s">
        <v>6</v>
      </c>
      <c r="M1" s="1" t="s">
        <v>9</v>
      </c>
      <c r="Q1" s="1" t="s">
        <v>10</v>
      </c>
    </row>
    <row r="2" spans="2:20" x14ac:dyDescent="0.3">
      <c r="B2">
        <v>6</v>
      </c>
      <c r="C2">
        <v>17</v>
      </c>
      <c r="D2">
        <v>13</v>
      </c>
      <c r="H2" t="s">
        <v>7</v>
      </c>
      <c r="I2">
        <f>(B2-$E$12)^2</f>
        <v>34.81</v>
      </c>
      <c r="J2">
        <f>(C2-$E$12)^2</f>
        <v>26.009999999999998</v>
      </c>
      <c r="K2">
        <f>(D2-$E$12)^2</f>
        <v>1.2099999999999993</v>
      </c>
      <c r="M2">
        <f>(B12-$E$12)^2</f>
        <v>4</v>
      </c>
      <c r="N2">
        <f t="shared" ref="N2:O2" si="0">(C12-$E$12)^2</f>
        <v>0.16000000000000028</v>
      </c>
      <c r="O2">
        <f t="shared" si="0"/>
        <v>5.7600000000000016</v>
      </c>
      <c r="Q2">
        <f>(B2-$B$12)^2</f>
        <v>15.210000000000003</v>
      </c>
      <c r="R2">
        <f>(C2-$C$12)^2</f>
        <v>30.25</v>
      </c>
      <c r="S2">
        <f>(D2-$D$12)^2</f>
        <v>1.6900000000000019</v>
      </c>
    </row>
    <row r="3" spans="2:20" x14ac:dyDescent="0.3">
      <c r="B3">
        <v>10</v>
      </c>
      <c r="C3">
        <v>15</v>
      </c>
      <c r="D3">
        <v>16</v>
      </c>
      <c r="I3">
        <f t="shared" ref="I3:I11" si="1">(B3-$E$12)^2</f>
        <v>3.6100000000000012</v>
      </c>
      <c r="J3">
        <f t="shared" ref="J3:J11" si="2">(C3-$E$12)^2</f>
        <v>9.6099999999999977</v>
      </c>
      <c r="K3">
        <f t="shared" ref="K3:K11" si="3">(D3-$E$12)^2</f>
        <v>16.809999999999999</v>
      </c>
      <c r="Q3">
        <f t="shared" ref="Q3:Q11" si="4">(B3-$B$12)^2</f>
        <v>9.9999999999999291E-3</v>
      </c>
      <c r="R3">
        <f t="shared" ref="R3:R11" si="5">(C3-$C$12)^2</f>
        <v>12.25</v>
      </c>
      <c r="S3">
        <f t="shared" ref="S3:S11" si="6">(D3-$D$12)^2</f>
        <v>2.8899999999999975</v>
      </c>
    </row>
    <row r="4" spans="2:20" x14ac:dyDescent="0.3">
      <c r="B4">
        <v>8</v>
      </c>
      <c r="C4">
        <v>3</v>
      </c>
      <c r="D4">
        <v>9</v>
      </c>
      <c r="I4">
        <f t="shared" si="1"/>
        <v>15.210000000000003</v>
      </c>
      <c r="J4">
        <f t="shared" si="2"/>
        <v>79.210000000000008</v>
      </c>
      <c r="K4">
        <f t="shared" si="3"/>
        <v>8.4100000000000019</v>
      </c>
      <c r="N4" s="1" t="s">
        <v>11</v>
      </c>
      <c r="O4" s="1">
        <f>10*SUM(M2:O2)</f>
        <v>99.200000000000017</v>
      </c>
      <c r="Q4">
        <f t="shared" si="4"/>
        <v>3.6100000000000012</v>
      </c>
      <c r="R4">
        <f t="shared" si="5"/>
        <v>72.25</v>
      </c>
      <c r="S4">
        <f t="shared" si="6"/>
        <v>28.090000000000007</v>
      </c>
    </row>
    <row r="5" spans="2:20" x14ac:dyDescent="0.3">
      <c r="B5">
        <v>6</v>
      </c>
      <c r="C5">
        <v>11</v>
      </c>
      <c r="D5">
        <v>12</v>
      </c>
      <c r="I5">
        <f t="shared" si="1"/>
        <v>34.81</v>
      </c>
      <c r="J5">
        <f t="shared" si="2"/>
        <v>0.81000000000000061</v>
      </c>
      <c r="K5">
        <f t="shared" si="3"/>
        <v>9.9999999999999291E-3</v>
      </c>
      <c r="Q5">
        <f t="shared" si="4"/>
        <v>15.210000000000003</v>
      </c>
      <c r="R5">
        <f t="shared" si="5"/>
        <v>0.25</v>
      </c>
      <c r="S5">
        <f t="shared" si="6"/>
        <v>5.2900000000000036</v>
      </c>
    </row>
    <row r="6" spans="2:20" x14ac:dyDescent="0.3">
      <c r="B6">
        <v>14</v>
      </c>
      <c r="C6">
        <v>14</v>
      </c>
      <c r="D6">
        <v>15</v>
      </c>
      <c r="I6">
        <f t="shared" si="1"/>
        <v>4.4099999999999984</v>
      </c>
      <c r="J6">
        <f t="shared" si="2"/>
        <v>4.4099999999999984</v>
      </c>
      <c r="K6">
        <f t="shared" si="3"/>
        <v>9.6099999999999977</v>
      </c>
      <c r="Q6">
        <f t="shared" si="4"/>
        <v>16.809999999999999</v>
      </c>
      <c r="R6">
        <f t="shared" si="5"/>
        <v>6.25</v>
      </c>
      <c r="S6">
        <f t="shared" si="6"/>
        <v>0.48999999999999899</v>
      </c>
    </row>
    <row r="7" spans="2:20" x14ac:dyDescent="0.3">
      <c r="B7">
        <v>17</v>
      </c>
      <c r="C7">
        <v>12</v>
      </c>
      <c r="D7">
        <v>16</v>
      </c>
      <c r="I7">
        <f t="shared" si="1"/>
        <v>26.009999999999998</v>
      </c>
      <c r="J7">
        <f t="shared" si="2"/>
        <v>9.9999999999999291E-3</v>
      </c>
      <c r="K7">
        <f t="shared" si="3"/>
        <v>16.809999999999999</v>
      </c>
      <c r="Q7">
        <f t="shared" si="4"/>
        <v>50.41</v>
      </c>
      <c r="R7">
        <f t="shared" si="5"/>
        <v>0.25</v>
      </c>
      <c r="S7">
        <f t="shared" si="6"/>
        <v>2.8899999999999975</v>
      </c>
    </row>
    <row r="8" spans="2:20" x14ac:dyDescent="0.3">
      <c r="B8">
        <v>9</v>
      </c>
      <c r="C8">
        <v>12</v>
      </c>
      <c r="D8">
        <v>17</v>
      </c>
      <c r="I8">
        <f t="shared" si="1"/>
        <v>8.4100000000000019</v>
      </c>
      <c r="J8">
        <f t="shared" si="2"/>
        <v>9.9999999999999291E-3</v>
      </c>
      <c r="K8">
        <f t="shared" si="3"/>
        <v>26.009999999999998</v>
      </c>
      <c r="Q8">
        <f t="shared" si="4"/>
        <v>0.81000000000000061</v>
      </c>
      <c r="R8">
        <f t="shared" si="5"/>
        <v>0.25</v>
      </c>
      <c r="S8">
        <f t="shared" si="6"/>
        <v>7.2899999999999965</v>
      </c>
    </row>
    <row r="9" spans="2:20" x14ac:dyDescent="0.3">
      <c r="B9">
        <v>11</v>
      </c>
      <c r="C9">
        <v>8</v>
      </c>
      <c r="D9">
        <v>13</v>
      </c>
      <c r="I9">
        <f t="shared" si="1"/>
        <v>0.81000000000000061</v>
      </c>
      <c r="J9">
        <f t="shared" si="2"/>
        <v>15.210000000000003</v>
      </c>
      <c r="K9">
        <f t="shared" si="3"/>
        <v>1.2099999999999993</v>
      </c>
      <c r="Q9">
        <f t="shared" si="4"/>
        <v>1.2099999999999993</v>
      </c>
      <c r="R9">
        <f t="shared" si="5"/>
        <v>12.25</v>
      </c>
      <c r="S9">
        <f t="shared" si="6"/>
        <v>1.6900000000000019</v>
      </c>
    </row>
    <row r="10" spans="2:20" x14ac:dyDescent="0.3">
      <c r="B10">
        <v>7</v>
      </c>
      <c r="C10">
        <v>10</v>
      </c>
      <c r="D10">
        <v>18</v>
      </c>
      <c r="I10">
        <f t="shared" si="1"/>
        <v>24.010000000000005</v>
      </c>
      <c r="J10">
        <f t="shared" si="2"/>
        <v>3.6100000000000012</v>
      </c>
      <c r="K10">
        <f t="shared" si="3"/>
        <v>37.209999999999994</v>
      </c>
      <c r="Q10">
        <f t="shared" si="4"/>
        <v>8.4100000000000019</v>
      </c>
      <c r="R10">
        <f t="shared" si="5"/>
        <v>2.25</v>
      </c>
      <c r="S10">
        <f t="shared" si="6"/>
        <v>13.689999999999994</v>
      </c>
    </row>
    <row r="11" spans="2:20" x14ac:dyDescent="0.3">
      <c r="B11">
        <v>11</v>
      </c>
      <c r="C11">
        <v>13</v>
      </c>
      <c r="D11">
        <v>14</v>
      </c>
      <c r="I11">
        <f t="shared" si="1"/>
        <v>0.81000000000000061</v>
      </c>
      <c r="J11">
        <f t="shared" si="2"/>
        <v>1.2099999999999993</v>
      </c>
      <c r="K11">
        <f t="shared" si="3"/>
        <v>4.4099999999999984</v>
      </c>
      <c r="Q11">
        <f t="shared" si="4"/>
        <v>1.2099999999999993</v>
      </c>
      <c r="R11">
        <f t="shared" si="5"/>
        <v>2.25</v>
      </c>
      <c r="S11">
        <f t="shared" si="6"/>
        <v>9.0000000000000427E-2</v>
      </c>
    </row>
    <row r="12" spans="2:20" x14ac:dyDescent="0.3">
      <c r="B12">
        <f>AVERAGE(B2:B11)</f>
        <v>9.9</v>
      </c>
      <c r="C12">
        <f>AVERAGE(C2:C11)</f>
        <v>11.5</v>
      </c>
      <c r="D12">
        <f>AVERAGE(D2:D11)</f>
        <v>14.3</v>
      </c>
      <c r="E12">
        <f>AVERAGE(B2:D11)</f>
        <v>11.9</v>
      </c>
      <c r="J12" t="s">
        <v>8</v>
      </c>
      <c r="K12">
        <f>SUM(I2:K11)</f>
        <v>414.69999999999993</v>
      </c>
      <c r="Q12">
        <f>SUM(Q2:Q11)</f>
        <v>112.89999999999999</v>
      </c>
      <c r="R12">
        <f>SUM(R2:R11)</f>
        <v>138.5</v>
      </c>
      <c r="S12">
        <f>SUM(S2:S11)</f>
        <v>64.100000000000023</v>
      </c>
      <c r="T12">
        <f>SUM(Q12:S12)</f>
        <v>315.5</v>
      </c>
    </row>
    <row r="13" spans="2:20" x14ac:dyDescent="0.3">
      <c r="B13" s="1" t="s">
        <v>5</v>
      </c>
      <c r="C13" s="1" t="s">
        <v>3</v>
      </c>
      <c r="D13" s="1" t="s">
        <v>4</v>
      </c>
      <c r="E13" s="1" t="s">
        <v>14</v>
      </c>
    </row>
    <row r="14" spans="2:20" x14ac:dyDescent="0.3">
      <c r="I14" s="1" t="s">
        <v>12</v>
      </c>
      <c r="R14" s="1" t="s">
        <v>13</v>
      </c>
    </row>
    <row r="16" spans="2:20" x14ac:dyDescent="0.3">
      <c r="B16" t="s">
        <v>15</v>
      </c>
      <c r="D16">
        <f>(K12-O4)</f>
        <v>315.49999999999989</v>
      </c>
    </row>
    <row r="19" spans="2:8" x14ac:dyDescent="0.3">
      <c r="B19" t="s">
        <v>16</v>
      </c>
    </row>
    <row r="21" spans="2:8" x14ac:dyDescent="0.3">
      <c r="B21" s="1" t="s">
        <v>17</v>
      </c>
      <c r="C21" s="1" t="s">
        <v>18</v>
      </c>
      <c r="D21" s="1"/>
      <c r="E21" s="1" t="s">
        <v>19</v>
      </c>
      <c r="F21" s="1" t="s">
        <v>20</v>
      </c>
      <c r="G21" s="1" t="s">
        <v>21</v>
      </c>
      <c r="H21" s="1" t="s">
        <v>22</v>
      </c>
    </row>
    <row r="22" spans="2:8" x14ac:dyDescent="0.3">
      <c r="B22" t="s">
        <v>23</v>
      </c>
      <c r="C22">
        <v>99.2</v>
      </c>
      <c r="E22">
        <f>(3-1)</f>
        <v>2</v>
      </c>
      <c r="F22">
        <f>(O4/E22)</f>
        <v>49.600000000000009</v>
      </c>
      <c r="G22">
        <f>(F22/F23)</f>
        <v>4.2446909667194932</v>
      </c>
      <c r="H22" t="s">
        <v>25</v>
      </c>
    </row>
    <row r="23" spans="2:8" x14ac:dyDescent="0.3">
      <c r="B23" t="s">
        <v>24</v>
      </c>
      <c r="C23">
        <v>315.5</v>
      </c>
      <c r="E23">
        <f>(3*(10-1))</f>
        <v>27</v>
      </c>
      <c r="F23">
        <f>(T12/E23)</f>
        <v>11.685185185185185</v>
      </c>
    </row>
    <row r="24" spans="2:8" x14ac:dyDescent="0.3">
      <c r="B24" t="s">
        <v>8</v>
      </c>
      <c r="C24">
        <v>414.7</v>
      </c>
      <c r="E24">
        <f>(10*3)-1</f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soni</dc:creator>
  <cp:lastModifiedBy>parag soni</cp:lastModifiedBy>
  <dcterms:created xsi:type="dcterms:W3CDTF">2022-02-24T16:15:28Z</dcterms:created>
  <dcterms:modified xsi:type="dcterms:W3CDTF">2022-02-24T17:15:47Z</dcterms:modified>
</cp:coreProperties>
</file>